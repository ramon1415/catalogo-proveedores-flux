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5e09c4ffab3499a" /></Relationships>
</file>

<file path=xl/workbook.xml><?xml version="1.0" encoding="utf-8"?>
<x:workbook xmlns:x="http://schemas.openxmlformats.org/spreadsheetml/2006/main">
  <x:sheets>
    <x:sheet xmlns:r="http://schemas.openxmlformats.org/officeDocument/2006/relationships" name="CONTROL" sheetId="1" r:id="R96484180552149cd"/>
    <x:sheet xmlns:r="http://schemas.openxmlformats.org/officeDocument/2006/relationships" name="OPERADORA TLACATECPAN" sheetId="2" r:id="R662c8076067b408d"/>
    <x:sheet xmlns:r="http://schemas.openxmlformats.org/officeDocument/2006/relationships" name="MAPEO_QA" sheetId="3" r:id="R1e5f56ff140c49e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7">
    <x:font>
      <x:sz val="11"/>
      <x:name val="Carlito"/>
    </x:font>
    <x:font>
      <x:b/>
      <x:sz val="16"/>
      <x:color rgb="FFFFFFFF"/>
      <x:name val="Carlito"/>
    </x:font>
    <x:font>
      <x:b/>
      <x:sz val="11"/>
      <x:color rgb="FF9C6500"/>
      <x:name val="Carlito"/>
    </x:font>
    <x:font>
      <x:b/>
      <x:sz val="11"/>
      <x:color rgb="FFFFFFFF"/>
      <x:name val="Carlito"/>
    </x:font>
    <x:font>
      <x:b/>
      <x:sz val="11"/>
      <x:name val="Carlito"/>
    </x:font>
    <x:font>
      <x:b/>
      <x:sz val="11"/>
      <x:color rgb="FF17365D"/>
      <x:name val="Carlito"/>
    </x:font>
    <x:font>
      <x:b/>
      <x:sz val="11"/>
      <x:color rgb="FF375623"/>
      <x:name val="Carlito"/>
    </x:font>
  </x:fonts>
  <x:fills count="7">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4472C4"/>
      </x:patternFill>
    </x:fill>
    <x:fill>
      <x:patternFill patternType="solid">
        <x:fgColor rgb="FFD9EAF7"/>
      </x:patternFill>
    </x:fill>
    <x:fill>
      <x:patternFill patternType="solid">
        <x:fgColor rgb="FFE2F0D9"/>
      </x:patternFill>
    </x:fill>
  </x:fills>
  <x:borders count="24">
    <x:border/>
    <x:border/>
    <x:border>
      <x:left/>
      <x:top/>
    </x:border>
    <x:border>
      <x:right/>
      <x:top/>
    </x:border>
    <x:border>
      <x:left/>
    </x:border>
    <x:border>
      <x:right/>
    </x:border>
    <x:border>
      <x:left/>
      <x:bottom/>
    </x:border>
    <x:border>
      <x:right/>
      <x:bottom/>
    </x:border>
    <x:border>
      <x:left/>
      <x:top/>
    </x:border>
    <x:border>
      <x:right/>
      <x:top/>
    </x:border>
    <x:border>
      <x:left/>
    </x:border>
    <x:border>
      <x:right/>
    </x:border>
    <x:border>
      <x:left/>
      <x:bottom/>
    </x:border>
    <x:border>
      <x:right/>
      <x:bottom/>
    </x:border>
    <x:border>
      <x:top/>
    </x:border>
    <x:border>
      <x:bottom/>
    </x:border>
    <x:border>
      <x:top/>
    </x:border>
    <x:border>
      <x:bottom/>
    </x:border>
    <x:border>
      <x:left/>
      <x:right/>
      <x:top/>
    </x:border>
    <x:border>
      <x:left/>
      <x:right/>
    </x:border>
    <x:border>
      <x:left/>
      <x:right/>
      <x:bottom/>
    </x:border>
    <x:border>
      <x:left/>
      <x:right/>
      <x:top/>
    </x:border>
    <x:border>
      <x:left/>
      <x:right/>
    </x:border>
    <x:border>
      <x:left/>
      <x:right/>
      <x:bottom/>
    </x:border>
  </x:borders>
  <x:cellStyleXfs count="1">
    <x:xf numFmtId="0" fontId="0" fillId="0" borderId="0"/>
  </x:cellStyleXfs>
  <x:cellXfs count="11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left" wrapText="1"/>
    </x:xf>
    <x:xf numFmtId="0" fontId="2" fillId="3" borderId="0" xfId="0" applyNumberFormat="1" applyFont="1" applyFill="1" applyBorder="1" applyAlignment="1">
      <x:alignment horizontal="lef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left" wrapText="1"/>
    </x:xf>
    <x:xf numFmtId="0" fontId="2" fillId="3" borderId="1" xfId="0" applyNumberFormat="1" applyFont="1" applyFill="1" applyBorder="1" applyAlignment="1">
      <x:alignment horizontal="lef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3" fillId="4" borderId="8" xfId="0" applyNumberFormat="1" applyFont="1" applyFill="1" applyBorder="1" applyAlignment="1">
      <x:alignment horizontal="center" vertical="center" wrapText="1"/>
    </x:xf>
    <x:xf numFmtId="0" fontId="3" fillId="4" borderId="9" xfId="0" applyNumberFormat="1" applyFont="1" applyFill="1" applyBorder="1" applyAlignment="1">
      <x:alignment horizontal="center" vertical="center" wrapText="1"/>
    </x:xf>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4" fillId="0" borderId="4" xfId="0" applyNumberFormat="1" applyFont="1" applyFill="1" applyBorder="1"/>
    <x:xf numFmtId="0" fontId="4" fillId="0" borderId="6" xfId="0" applyNumberFormat="1" applyFont="1" applyFill="1" applyBorder="1"/>
    <x:xf numFmtId="0" fontId="4" fillId="0" borderId="10" xfId="0" applyNumberFormat="1" applyFont="1" applyFill="1" applyBorder="1"/>
    <x:xf numFmtId="0" fontId="4" fillId="0" borderId="12" xfId="0" applyNumberFormat="1" applyFont="1" applyFill="1" applyBorder="1"/>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horizontal="left"/>
    </x:xf>
    <x:xf numFmtId="0" fontId="5" fillId="5" borderId="0" xfId="0" applyNumberFormat="1" applyFont="1" applyFill="1" applyBorder="1" applyAlignment="1">
      <x:alignment horizontal="left" vertical="center"/>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horizontal="left"/>
    </x:xf>
    <x:xf numFmtId="0" fontId="5" fillId="5" borderId="1" xfId="0" applyNumberFormat="1" applyFont="1" applyFill="1" applyBorder="1" applyAlignment="1">
      <x:alignment horizontal="left" vertical="center"/>
    </x:xf>
    <x:xf numFmtId="0" fontId="3" fillId="4" borderId="14" xfId="0" applyNumberFormat="1" applyFont="1" applyFill="1" applyBorder="1" applyAlignment="1">
      <x:alignment horizontal="center" vertical="center" wrapText="1"/>
    </x:xf>
    <x:xf numFmtId="0" fontId="0" fillId="0" borderId="15" xfId="0" applyNumberFormat="1" applyFont="1" applyFill="1" applyBorder="1"/>
    <x:xf numFmtId="0" fontId="3" fillId="4" borderId="16" xfId="0" applyNumberFormat="1" applyFont="1" applyFill="1" applyBorder="1" applyAlignment="1">
      <x:alignment horizontal="center" vertical="center" wrapText="1"/>
    </x:xf>
    <x:xf numFmtId="0" fontId="0" fillId="0" borderId="17" xfId="0" applyNumberFormat="1" applyFont="1" applyFill="1" applyBorder="1"/>
    <x:xf numFmtId="200" fontId="0" fillId="0" borderId="15" xfId="0" applyNumberFormat="1" applyFont="1" applyFill="1" applyBorder="1"/>
    <x:xf numFmtId="200" fontId="0" fillId="0" borderId="17" xfId="0" applyNumberFormat="1" applyFont="1" applyFill="1" applyBorder="1"/>
    <x:xf numFmtId="0" fontId="0" fillId="6" borderId="7" xfId="0" applyNumberFormat="1" applyFont="1" applyFill="1" applyBorder="1"/>
    <x:xf numFmtId="0" fontId="6" fillId="6" borderId="7" xfId="0" applyNumberFormat="1" applyFont="1" applyFill="1" applyBorder="1"/>
    <x:xf numFmtId="0" fontId="0" fillId="6" borderId="13" xfId="0" applyNumberFormat="1" applyFont="1" applyFill="1" applyBorder="1"/>
    <x:xf numFmtId="0" fontId="6" fillId="6" borderId="13" xfId="0" applyNumberFormat="1" applyFont="1" applyFill="1" applyBorder="1"/>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4"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4"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5" fillId="5" borderId="0" xfId="0" applyNumberFormat="1" applyFont="1" applyFill="1" applyBorder="1" applyAlignment="1">
      <x:alignment horizontal="left" vertical="center" wrapText="1"/>
    </x:xf>
    <x:xf numFmtId="0" fontId="0" fillId="0" borderId="6" xfId="0" applyNumberFormat="1" applyFont="1" applyFill="1" applyBorder="1" applyAlignment="1">
      <x:alignment wrapText="1"/>
    </x:xf>
    <x:xf numFmtId="200" fontId="0" fillId="0" borderId="15" xfId="0" applyNumberFormat="1" applyFont="1" applyFill="1" applyBorder="1" applyAlignment="1">
      <x:alignment wrapText="1"/>
    </x:xf>
    <x:xf numFmtId="0" fontId="6" fillId="6" borderId="7"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4"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4"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5" fillId="5" borderId="1" xfId="0" applyNumberFormat="1" applyFont="1" applyFill="1" applyBorder="1" applyAlignment="1">
      <x:alignment horizontal="left" vertical="center" wrapText="1"/>
    </x:xf>
    <x:xf numFmtId="0" fontId="0" fillId="0" borderId="12" xfId="0" applyNumberFormat="1" applyFont="1" applyFill="1" applyBorder="1" applyAlignment="1">
      <x:alignment wrapText="1"/>
    </x:xf>
    <x:xf numFmtId="200" fontId="0" fillId="0" borderId="17" xfId="0" applyNumberFormat="1" applyFont="1" applyFill="1" applyBorder="1" applyAlignment="1">
      <x:alignment wrapText="1"/>
    </x:xf>
    <x:xf numFmtId="0" fontId="6" fillId="6" borderId="13" xfId="0" applyNumberFormat="1" applyFont="1" applyFill="1" applyBorder="1" applyAlignment="1">
      <x:alignment wrapText="1"/>
    </x:xf>
    <x:xf numFmtId="0" fontId="0" fillId="0" borderId="0" xfId="0" applyNumberFormat="1" applyFont="1" applyFill="1" applyBorder="1"/>
    <x:xf numFmtId="0" fontId="5" fillId="5" borderId="6" xfId="0" applyNumberFormat="1" applyFont="1" applyFill="1" applyBorder="1" applyAlignment="1">
      <x:alignment horizontal="left" vertical="center"/>
    </x:xf>
    <x:xf numFmtId="0" fontId="5" fillId="5" borderId="15" xfId="0" applyNumberFormat="1" applyFont="1" applyFill="1" applyBorder="1" applyAlignment="1">
      <x:alignment horizontal="left" vertical="center"/>
    </x:xf>
    <x:xf numFmtId="0" fontId="5" fillId="5" borderId="12" xfId="0" applyNumberFormat="1" applyFont="1" applyFill="1" applyBorder="1" applyAlignment="1">
      <x:alignment horizontal="left" vertical="center"/>
    </x:xf>
    <x:xf numFmtId="0" fontId="5" fillId="5" borderId="17" xfId="0" applyNumberFormat="1" applyFont="1" applyFill="1" applyBorder="1" applyAlignment="1">
      <x:alignment horizontal="left" vertical="center"/>
    </x:xf>
    <x:xf numFmtId="0" fontId="3" fillId="4" borderId="18" xfId="0" applyNumberFormat="1" applyFont="1" applyFill="1" applyBorder="1" applyAlignment="1">
      <x:alignment horizontal="center" vertical="center" wrapText="1"/>
    </x:xf>
    <x:xf numFmtId="0" fontId="0" fillId="0" borderId="19" xfId="0" applyNumberFormat="1" applyFont="1" applyFill="1" applyBorder="1"/>
    <x:xf numFmtId="0" fontId="0" fillId="0" borderId="20" xfId="0" applyNumberFormat="1" applyFont="1" applyFill="1" applyBorder="1"/>
    <x:xf numFmtId="0" fontId="3" fillId="4" borderId="21" xfId="0" applyNumberFormat="1" applyFont="1" applyFill="1" applyBorder="1" applyAlignment="1">
      <x:alignment horizontal="center" vertical="center" wrapText="1"/>
    </x:xf>
    <x:xf numFmtId="0" fontId="0" fillId="0" borderId="22" xfId="0" applyNumberFormat="1" applyFont="1" applyFill="1" applyBorder="1"/>
    <x:xf numFmtId="0" fontId="0" fillId="0" borderId="23" xfId="0" applyNumberFormat="1" applyFont="1" applyFill="1" applyBorder="1"/>
    <x:xf numFmtId="200" fontId="0" fillId="0" borderId="0" xfId="0" applyNumberFormat="1" applyFont="1" applyFill="1" applyBorder="1"/>
    <x:xf numFmtId="200" fontId="0" fillId="0" borderId="1" xfId="0" applyNumberFormat="1" applyFont="1" applyFill="1" applyBorder="1"/>
    <x:xf numFmtId="200" fontId="0" fillId="0" borderId="19" xfId="0" applyNumberFormat="1" applyFont="1" applyFill="1" applyBorder="1"/>
    <x:xf numFmtId="200" fontId="0" fillId="0" borderId="20" xfId="0" applyNumberFormat="1" applyFont="1" applyFill="1" applyBorder="1"/>
    <x:xf numFmtId="200" fontId="0" fillId="0" borderId="22" xfId="0" applyNumberFormat="1" applyFont="1" applyFill="1" applyBorder="1"/>
    <x:xf numFmtId="200" fontId="0" fillId="0" borderId="23" xfId="0" applyNumberFormat="1" applyFont="1" applyFill="1" applyBorder="1"/>
    <x:xf numFmtId="0" fontId="0" fillId="0" borderId="15" xfId="0" applyNumberFormat="1" applyFont="1" applyFill="1" applyBorder="1" applyAlignment="1">
      <x:alignment wrapText="1"/>
    </x:xf>
    <x:xf numFmtId="0" fontId="0" fillId="0" borderId="4"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9" xfId="0" applyNumberFormat="1" applyFont="1" applyFill="1" applyBorder="1" applyAlignment="1">
      <x:alignment wrapText="1"/>
    </x:xf>
    <x:xf numFmtId="0" fontId="5" fillId="5" borderId="6" xfId="0" applyNumberFormat="1" applyFont="1" applyFill="1" applyBorder="1" applyAlignment="1">
      <x:alignment horizontal="left" vertical="center" wrapText="1"/>
    </x:xf>
    <x:xf numFmtId="0" fontId="5" fillId="5" borderId="15" xfId="0" applyNumberFormat="1" applyFont="1" applyFill="1" applyBorder="1" applyAlignment="1">
      <x:alignment horizontal="left" vertical="center" wrapText="1"/>
    </x:xf>
    <x:xf numFmtId="200" fontId="0" fillId="0" borderId="20"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0" xfId="0" applyNumberFormat="1" applyFont="1" applyFill="1" applyBorder="1" applyAlignment="1">
      <x:alignment wrapText="1"/>
    </x:xf>
    <x:xf numFmtId="200" fontId="0" fillId="0" borderId="1" xfId="0" applyNumberFormat="1" applyFont="1" applyFill="1" applyBorder="1" applyAlignment="1">
      <x:alignment wrapText="1"/>
    </x:xf>
    <x:xf numFmtId="200" fontId="0" fillId="0" borderId="22" xfId="0" applyNumberFormat="1" applyFont="1" applyFill="1" applyBorder="1" applyAlignment="1">
      <x:alignment wrapText="1"/>
    </x:xf>
    <x:xf numFmtId="0" fontId="5" fillId="5" borderId="12" xfId="0" applyNumberFormat="1" applyFont="1" applyFill="1" applyBorder="1" applyAlignment="1">
      <x:alignment horizontal="left" vertical="center" wrapText="1"/>
    </x:xf>
    <x:xf numFmtId="0" fontId="5" fillId="5" borderId="17" xfId="0" applyNumberFormat="1" applyFont="1" applyFill="1" applyBorder="1" applyAlignment="1">
      <x:alignment horizontal="left" vertical="center" wrapText="1"/>
    </x:xf>
    <x:xf numFmtId="200" fontId="0" fillId="0" borderId="23" xfId="0" applyNumberFormat="1" applyFont="1" applyFill="1" applyBorder="1" applyAlignment="1">
      <x:alignment wrapText="1"/>
    </x:xf>
    <x:xf numFmtId="0" fontId="0" fillId="3" borderId="0" xfId="0" applyNumberFormat="1" applyFont="1" applyFill="1" applyBorder="1" applyAlignment="1">
      <x:alignment wrapText="1"/>
    </x:xf>
    <x:xf numFmtId="0" fontId="0" fillId="3" borderId="1" xfId="0" applyNumberFormat="1" applyFont="1" applyFill="1" applyBorder="1" applyAlignment="1">
      <x:alignment wrapText="1"/>
    </x:xf>
  </x:cellXfs>
  <x:cellStyles count="1">
    <x:cellStyle name="Normal" xfId="0"/>
  </x:cellStyles>
  <x:dxfs count="2">
    <x:dxf>
      <x:font>
        <x:b/>
      </x:font>
      <x:fill>
        <x:patternFill patternType="solid">
          <x:bgColor rgb="FFF4CCCC"/>
        </x:patternFill>
      </x:fill>
    </x:dxf>
    <x:dxf>
      <x:font>
        <x:b/>
      </x:font>
      <x:fill>
        <x:patternFill patternType="solid">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c067c3c8d0e4fdd" /><Relationship Type="http://schemas.openxmlformats.org/officeDocument/2006/relationships/theme" Target="/xl/theme/theme1.xml" Id="Rac42182afc43446f" /><Relationship Type="http://schemas.openxmlformats.org/officeDocument/2006/relationships/sharedStrings" Target="/xl/sharedStrings.xml" Id="R24b503afc7ed4c35" /><Relationship Type="http://schemas.openxmlformats.org/officeDocument/2006/relationships/worksheet" Target="/xl/worksheets/sheet1.xml" Id="R96484180552149cd" /><Relationship Type="http://schemas.openxmlformats.org/officeDocument/2006/relationships/worksheet" Target="/xl/worksheets/sheet2.xml" Id="R662c8076067b408d" /><Relationship Type="http://schemas.openxmlformats.org/officeDocument/2006/relationships/worksheet" Target="/xl/worksheets/sheet3.xml" Id="R1e5f56ff140c49e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42"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30" customHeight="1">
      <x:c r="A1" s="64" t="str">
        <x:v>CARÁTULA DE NÓMINA SINTÉTICA — QA FLUX</x:v>
      </x:c>
      <x:c r="B1" s="64"/>
      <x:c r="C1" s="64"/>
      <x:c r="D1" s="64"/>
      <x:c r="E1" s="64"/>
      <x:c r="F1" s="64"/>
      <x:c r="G1" s="64"/>
      <x:c r="H1" s="64"/>
    </x:row>
    <x:row r="2">
      <x:c r="A2" s="65"/>
      <x:c r="B2" s="65"/>
      <x:c r="C2" s="65"/>
      <x:c r="D2" s="65"/>
      <x:c r="E2" s="65"/>
      <x:c r="F2" s="65"/>
      <x:c r="G2" s="65"/>
      <x:c r="H2" s="65"/>
    </x:row>
    <x:row r="3" ht="42" customHeight="1">
      <x:c r="A3" s="14" t="str">
        <x:v>⚠ ARCHIVO SINTÉTICO PARA PRUEBAS. NO ES LA CARÁTULA REAL DEL DESPACHO, NO CERTIFICA EL FORMATO FÍSICO Y NO DEBE UTILIZARSE PARA DISPERSIÓN BANCARIA.</x:v>
      </x:c>
      <x:c r="B3" s="14"/>
      <x:c r="C3" s="14"/>
      <x:c r="D3" s="14"/>
      <x:c r="E3" s="14"/>
      <x:c r="F3" s="14"/>
      <x:c r="G3" s="14"/>
      <x:c r="H3" s="14"/>
    </x:row>
    <x:row r="4" ht="42" customHeight="1">
      <x:c r="A4" s="14"/>
      <x:c r="B4" s="14"/>
      <x:c r="C4" s="14"/>
      <x:c r="D4" s="14"/>
      <x:c r="E4" s="14"/>
      <x:c r="F4" s="14"/>
      <x:c r="G4" s="14"/>
      <x:c r="H4" s="14"/>
    </x:row>
    <x:row r="5">
      <x:c r="A5" s="65"/>
      <x:c r="B5" s="65"/>
      <x:c r="C5" s="65"/>
      <x:c r="D5" s="65"/>
      <x:c r="E5" s="65"/>
      <x:c r="F5" s="65"/>
      <x:c r="G5" s="65"/>
      <x:c r="H5" s="65"/>
    </x:row>
    <x:row r="6">
      <x:c r="A6" s="30" t="str">
        <x:v>Campo</x:v>
      </x:c>
      <x:c r="B6" s="31" t="str">
        <x:v>Valor</x:v>
      </x:c>
      <x:c r="C6" s="65"/>
      <x:c r="D6" s="65"/>
      <x:c r="E6" s="65"/>
      <x:c r="F6" s="65"/>
      <x:c r="G6" s="65"/>
      <x:c r="H6" s="65"/>
    </x:row>
    <x:row r="7">
      <x:c r="A7" s="66" t="str">
        <x:v>Empresa</x:v>
      </x:c>
      <x:c r="B7" s="67" t="str">
        <x:v>OPERADORA TLACATECPAN</x:v>
      </x:c>
      <x:c r="C7" s="65"/>
      <x:c r="D7" s="65"/>
      <x:c r="E7" s="65"/>
      <x:c r="F7" s="65"/>
      <x:c r="G7" s="65"/>
      <x:c r="H7" s="65"/>
    </x:row>
    <x:row r="8">
      <x:c r="A8" s="66" t="str">
        <x:v>Periodo</x:v>
      </x:c>
      <x:c r="B8" s="67" t="str">
        <x:v>Qna 15 / 2026 — SINTÉTICO</x:v>
      </x:c>
      <x:c r="C8" s="65"/>
      <x:c r="D8" s="65"/>
      <x:c r="E8" s="65"/>
      <x:c r="F8" s="65"/>
      <x:c r="G8" s="65"/>
      <x:c r="H8" s="65"/>
    </x:row>
    <x:row r="9">
      <x:c r="A9" s="66" t="str">
        <x:v>Tipo de corrida</x:v>
      </x:c>
      <x:c r="B9" s="67" t="str">
        <x:v>Ordinaria — QA</x:v>
      </x:c>
      <x:c r="C9" s="65"/>
      <x:c r="D9" s="65"/>
      <x:c r="E9" s="65"/>
      <x:c r="F9" s="65"/>
      <x:c r="G9" s="65"/>
      <x:c r="H9" s="65"/>
    </x:row>
    <x:row r="10">
      <x:c r="A10" s="66" t="str">
        <x:v>Cuenta origen</x:v>
      </x:c>
      <x:c r="B10" s="67" t="str">
        <x:v>BBVA ****0001 — SINTÉTICA</x:v>
      </x:c>
      <x:c r="C10" s="65"/>
      <x:c r="D10" s="65"/>
      <x:c r="E10" s="65"/>
      <x:c r="F10" s="65"/>
      <x:c r="G10" s="65"/>
      <x:c r="H10" s="65"/>
    </x:row>
    <x:row r="11">
      <x:c r="A11" s="68" t="str">
        <x:v>Objetivo</x:v>
      </x:c>
      <x:c r="B11" s="69" t="str">
        <x:v>Probar parser, validaciones, materialización y aprobación N3B sin datos reales</x:v>
      </x:c>
      <x:c r="C11" s="65"/>
      <x:c r="D11" s="65"/>
      <x:c r="E11" s="65"/>
      <x:c r="F11" s="65"/>
      <x:c r="G11" s="65"/>
      <x:c r="H11" s="65"/>
    </x:row>
    <x:row r="12">
      <x:c r="A12" s="65"/>
      <x:c r="B12" s="65"/>
      <x:c r="C12" s="65"/>
      <x:c r="D12" s="65"/>
      <x:c r="E12" s="65"/>
      <x:c r="F12" s="65"/>
      <x:c r="G12" s="65"/>
      <x:c r="H12" s="65"/>
    </x:row>
    <x:row r="13">
      <x:c r="A13" s="70" t="str">
        <x:v>RESUMEN DE CONTROL</x:v>
      </x:c>
      <x:c r="B13" s="70"/>
      <x:c r="C13" s="70"/>
      <x:c r="D13" s="70"/>
      <x:c r="E13" s="70"/>
      <x:c r="F13" s="70"/>
      <x:c r="G13" s="70"/>
      <x:c r="H13" s="70"/>
    </x:row>
    <x:row r="14">
      <x:c r="A14" s="65"/>
      <x:c r="B14" s="65"/>
      <x:c r="C14" s="65"/>
      <x:c r="D14" s="65"/>
      <x:c r="E14" s="65"/>
      <x:c r="F14" s="65"/>
      <x:c r="G14" s="65"/>
      <x:c r="H14" s="65"/>
    </x:row>
    <x:row r="15">
      <x:c r="A15" s="30" t="str">
        <x:v>Empleados</x:v>
      </x:c>
      <x:c r="B15" s="54" t="str">
        <x:v>Neto total</x:v>
      </x:c>
      <x:c r="C15" s="54" t="str">
        <x:v>Mismo banco</x:v>
      </x:c>
      <x:c r="D15" s="54" t="str">
        <x:v>SPEI</x:v>
      </x:c>
      <x:c r="E15" s="54" t="str">
        <x:v>Vales</x:v>
      </x:c>
      <x:c r="F15" s="31" t="str">
        <x:v>Control</x:v>
      </x:c>
      <x:c r="G15" s="65"/>
      <x:c r="H15" s="65"/>
    </x:row>
    <x:row r="16">
      <x:c r="A16" s="71" t="n">
        <x:f>COUNTA('OPERADORA TLACATECPAN'!B9:B19)</x:f>
        <x:v>11</x:v>
      </x:c>
      <x:c r="B16" s="72" t="n">
        <x:f>SUM('OPERADORA TLACATECPAN'!I9:I19)</x:f>
        <x:v>66651.5</x:v>
      </x:c>
      <x:c r="C16" s="72" t="n">
        <x:f>SUM('OPERADORA TLACATECPAN'!J9:J19)</x:f>
        <x:v>22850.5</x:v>
      </x:c>
      <x:c r="D16" s="72" t="n">
        <x:f>SUM('OPERADORA TLACATECPAN'!K9:K19)</x:f>
        <x:v>41701</x:v>
      </x:c>
      <x:c r="E16" s="72" t="n">
        <x:f>SUM('OPERADORA TLACATECPAN'!L9:L19)</x:f>
        <x:v>2100</x:v>
      </x:c>
      <x:c r="F16" s="73" t="str">
        <x:f>IF(ABS(B16-(C16+D16+E16))&lt;0.01,"CUADRA","REVISAR")</x:f>
        <x:v>CUADRA</x:v>
      </x:c>
      <x:c r="G16" s="65"/>
      <x:c r="H16" s="65"/>
    </x:row>
    <x:row r="17">
      <x:c r="A17" s="65"/>
      <x:c r="B17" s="65"/>
      <x:c r="C17" s="65"/>
      <x:c r="D17" s="65"/>
      <x:c r="E17" s="65"/>
      <x:c r="F17" s="65"/>
      <x:c r="G17" s="65"/>
      <x:c r="H17" s="65"/>
    </x:row>
    <x:row r="18">
      <x:c r="A18" s="65"/>
      <x:c r="B18" s="65"/>
      <x:c r="C18" s="65"/>
      <x:c r="D18" s="65"/>
      <x:c r="E18" s="65"/>
      <x:c r="F18" s="65"/>
      <x:c r="G18" s="65"/>
      <x:c r="H18" s="65"/>
    </x:row>
    <x:row r="19" ht="52" customHeight="1">
      <x:c r="A19" s="14" t="str">
        <x:v>Nota técnica: la hoja OPERADORA TLACATECPAN replica sólo un escenario QA. Las celdas AD9, AD11, AD14, AD18 y AD19 se poblaron intencionalmente con importes SPEI sintéticos para ejercitar las posiciones recuperadas del vínculo externo de la macro. Esto NO prueba que la columna AD tenga esa semántica en la carátula física real.</x:v>
      </x:c>
      <x:c r="B19" s="14"/>
      <x:c r="C19" s="14"/>
      <x:c r="D19" s="14"/>
      <x:c r="E19" s="14"/>
      <x:c r="F19" s="14"/>
      <x:c r="G19" s="14"/>
      <x:c r="H19" s="14"/>
    </x:row>
    <x:row r="20" ht="52" customHeight="1">
      <x:c r="A20" s="14"/>
      <x:c r="B20" s="14"/>
      <x:c r="C20" s="14"/>
      <x:c r="D20" s="14"/>
      <x:c r="E20" s="14"/>
      <x:c r="F20" s="14"/>
      <x:c r="G20" s="14"/>
      <x:c r="H20" s="14"/>
    </x:row>
    <x:row r="21" ht="52" customHeight="1">
      <x:c r="A21" s="14"/>
      <x:c r="B21" s="14"/>
      <x:c r="C21" s="14"/>
      <x:c r="D21" s="14"/>
      <x:c r="E21" s="14"/>
      <x:c r="F21" s="14"/>
      <x:c r="G21" s="14"/>
      <x:c r="H21" s="14"/>
    </x:row>
    <x:row r="22" ht="52" customHeight="1">
      <x:c r="A22" s="14"/>
      <x:c r="B22" s="14"/>
      <x:c r="C22" s="14"/>
      <x:c r="D22" s="14"/>
      <x:c r="E22" s="14"/>
      <x:c r="F22" s="14"/>
      <x:c r="G22" s="14"/>
      <x:c r="H22" s="14"/>
    </x:row>
  </x:sheetData>
  <x:mergeCells>
    <x:mergeCell ref="A1:H1"/>
    <x:mergeCell ref="A3:H4"/>
    <x:mergeCell ref="A13:H13"/>
    <x:mergeCell ref="A19:H22"/>
  </x:mergeCell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28" hidden="0" customWidth="1"/>
    <x:col min="3" max="3" width="16" hidden="0" customWidth="1"/>
    <x:col min="4" max="4" width="22" hidden="0" customWidth="1"/>
    <x:col min="5" max="5" width="16" hidden="0" customWidth="1"/>
    <x:col min="6" max="6" width="16" hidden="0" customWidth="1"/>
    <x:col min="7" max="7" width="22" hidden="0" customWidth="1"/>
    <x:col min="8" max="8" width="22"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8" hidden="0" customWidth="1"/>
    <x:col min="30" max="30" width="18" hidden="0" customWidth="1"/>
  </x:cols>
  <x:sheetData>
    <x:row r="1" ht="30" customHeight="1">
      <x:c r="A1" s="64" t="str">
        <x:v>OPERADORA TLACATECPAN — REPORTE DE NÓMINA PERIODO 15 — SINTÉTICO QA</x:v>
      </x:c>
      <x:c r="B1" s="64"/>
      <x:c r="C1" s="64"/>
      <x:c r="D1" s="64"/>
      <x:c r="E1" s="64"/>
      <x:c r="F1" s="64"/>
      <x:c r="G1" s="64"/>
      <x:c r="H1" s="64"/>
      <x:c r="I1" s="64"/>
      <x:c r="J1" s="64"/>
      <x:c r="K1" s="64"/>
      <x:c r="L1" s="64"/>
      <x:c r="M1" s="64"/>
      <x:c r="N1" s="64"/>
      <x:c r="O1" s="64"/>
      <x:c r="P1" s="64"/>
      <x:c r="Q1" s="64"/>
      <x:c r="R1" s="64"/>
      <x:c r="S1" s="64"/>
      <x:c r="T1" s="64"/>
      <x:c r="U1" s="64"/>
      <x:c r="V1" s="64"/>
      <x:c r="W1" s="64"/>
      <x:c r="X1" s="64"/>
      <x:c r="Y1" s="64"/>
      <x:c r="Z1" s="64"/>
      <x:c r="AA1" s="64"/>
      <x:c r="AB1" s="64"/>
      <x:c r="AC1" s="64"/>
      <x:c r="AD1" s="64"/>
    </x:row>
    <x:row r="2" ht="36" customHeight="1">
      <x:c r="A2" s="14" t="str">
        <x:v>NO USAR PARA PAGOS. Datos y cuentas totalmente ficticios. Estructura creada únicamente para probar el contrato interno de Flux.</x:v>
      </x:c>
      <x:c r="B2" s="14"/>
      <x:c r="C2" s="14"/>
      <x:c r="D2" s="14"/>
      <x:c r="E2" s="14"/>
      <x:c r="F2" s="14"/>
      <x:c r="G2" s="14"/>
      <x:c r="H2" s="14"/>
      <x:c r="I2" s="14"/>
      <x:c r="J2" s="14"/>
      <x:c r="K2" s="14"/>
      <x:c r="L2" s="14"/>
      <x:c r="M2" s="14"/>
      <x:c r="N2" s="14"/>
      <x:c r="O2" s="14"/>
      <x:c r="P2" s="14"/>
      <x:c r="Q2" s="14"/>
      <x:c r="R2" s="14"/>
      <x:c r="S2" s="14"/>
      <x:c r="T2" s="14"/>
      <x:c r="U2" s="14"/>
      <x:c r="V2" s="14"/>
      <x:c r="W2" s="14"/>
      <x:c r="X2" s="14"/>
      <x:c r="Y2" s="14"/>
      <x:c r="Z2" s="14"/>
      <x:c r="AA2" s="14"/>
      <x:c r="AB2" s="14"/>
      <x:c r="AC2" s="14"/>
      <x:c r="AD2" s="14"/>
    </x:row>
    <x:row r="3" ht="36" customHeight="1">
      <x:c r="A3" s="14"/>
      <x:c r="B3" s="14"/>
      <x:c r="C3" s="14"/>
      <x:c r="D3" s="14"/>
      <x:c r="E3" s="14"/>
      <x:c r="F3" s="14"/>
      <x:c r="G3" s="14"/>
      <x:c r="H3" s="14"/>
      <x:c r="I3" s="14"/>
      <x:c r="J3" s="14"/>
      <x:c r="K3" s="14"/>
      <x:c r="L3" s="14"/>
      <x:c r="M3" s="14"/>
      <x:c r="N3" s="14"/>
      <x:c r="O3" s="14"/>
      <x:c r="P3" s="14"/>
      <x:c r="Q3" s="14"/>
      <x:c r="R3" s="14"/>
      <x:c r="S3" s="14"/>
      <x:c r="T3" s="14"/>
      <x:c r="U3" s="14"/>
      <x:c r="V3" s="14"/>
      <x:c r="W3" s="14"/>
      <x:c r="X3" s="14"/>
      <x:c r="Y3" s="14"/>
      <x:c r="Z3" s="14"/>
      <x:c r="AA3" s="14"/>
      <x:c r="AB3" s="14"/>
      <x:c r="AC3" s="14"/>
      <x:c r="AD3" s="14"/>
    </x:row>
    <x:row r="4">
      <x:c r="A4" s="65"/>
      <x:c r="B4" s="65"/>
      <x:c r="C4" s="65"/>
      <x:c r="D4" s="65"/>
      <x:c r="E4" s="65"/>
      <x:c r="F4" s="65"/>
      <x:c r="G4" s="65"/>
      <x:c r="H4" s="65"/>
      <x:c r="I4" s="65"/>
      <x:c r="J4" s="65"/>
      <x:c r="K4" s="65"/>
      <x:c r="L4" s="65"/>
      <x:c r="M4" s="65"/>
      <x:c r="N4" s="65"/>
      <x:c r="O4" s="65"/>
      <x:c r="P4" s="65"/>
      <x:c r="Q4" s="65"/>
      <x:c r="R4" s="65"/>
      <x:c r="S4" s="65"/>
      <x:c r="T4" s="65"/>
      <x:c r="U4" s="65"/>
      <x:c r="V4" s="65"/>
      <x:c r="W4" s="65"/>
      <x:c r="X4" s="65"/>
      <x:c r="Y4" s="65"/>
      <x:c r="Z4" s="65"/>
      <x:c r="AA4" s="65"/>
      <x:c r="AB4" s="65"/>
      <x:c r="AC4" s="65"/>
      <x:c r="AD4" s="65"/>
    </x:row>
    <x:row r="5">
      <x:c r="A5" s="30" t="str">
        <x:v>Empresa</x:v>
      </x:c>
      <x:c r="B5" s="54" t="str">
        <x:v>Periodo</x:v>
      </x:c>
      <x:c r="C5" s="54" t="str">
        <x:v>Corrida</x:v>
      </x:c>
      <x:c r="D5" s="54" t="str">
        <x:v>Moneda</x:v>
      </x:c>
      <x:c r="E5" s="54" t="str">
        <x:v>Cuenta origen</x:v>
      </x:c>
      <x:c r="F5" s="54" t="str">
        <x:v>Estado</x:v>
      </x:c>
      <x:c r="G5" s="54" t="str">
        <x:v>Fuente</x:v>
      </x:c>
      <x:c r="H5" s="31" t="str">
        <x:v>Clasificación</x:v>
      </x:c>
      <x:c r="I5" s="65"/>
      <x:c r="J5" s="65"/>
      <x:c r="K5" s="65"/>
      <x:c r="L5" s="65"/>
      <x:c r="M5" s="65"/>
      <x:c r="N5" s="65"/>
      <x:c r="O5" s="65"/>
      <x:c r="P5" s="65"/>
      <x:c r="Q5" s="65"/>
      <x:c r="R5" s="65"/>
      <x:c r="S5" s="65"/>
      <x:c r="T5" s="65"/>
      <x:c r="U5" s="65"/>
      <x:c r="V5" s="65"/>
      <x:c r="W5" s="65"/>
      <x:c r="X5" s="65"/>
      <x:c r="Y5" s="65"/>
      <x:c r="Z5" s="65"/>
      <x:c r="AA5" s="65"/>
      <x:c r="AB5" s="65"/>
      <x:c r="AC5" s="65"/>
      <x:c r="AD5" s="65"/>
    </x:row>
    <x:row r="6">
      <x:c r="A6" s="71" t="str">
        <x:v>OPERADORA TLACATECPAN</x:v>
      </x:c>
      <x:c r="B6" s="101" t="str">
        <x:v>Qna 15 / 2026</x:v>
      </x:c>
      <x:c r="C6" s="101" t="str">
        <x:v>Ordinaria</x:v>
      </x:c>
      <x:c r="D6" s="101" t="str">
        <x:v>MXN</x:v>
      </x:c>
      <x:c r="E6" s="101" t="str">
        <x:v>BBVA ****0001</x:v>
      </x:c>
      <x:c r="F6" s="101" t="str">
        <x:v>QA</x:v>
      </x:c>
      <x:c r="G6" s="101" t="str">
        <x:v>Sintética</x:v>
      </x:c>
      <x:c r="H6" s="69" t="str">
        <x:v>NO CERTIFICADA</x:v>
      </x:c>
      <x:c r="I6" s="65"/>
      <x:c r="J6" s="65"/>
      <x:c r="K6" s="65"/>
      <x:c r="L6" s="65"/>
      <x:c r="M6" s="65"/>
      <x:c r="N6" s="65"/>
      <x:c r="O6" s="65"/>
      <x:c r="P6" s="65"/>
      <x:c r="Q6" s="65"/>
      <x:c r="R6" s="65"/>
      <x:c r="S6" s="65"/>
      <x:c r="T6" s="65"/>
      <x:c r="U6" s="65"/>
      <x:c r="V6" s="65"/>
      <x:c r="W6" s="65"/>
      <x:c r="X6" s="65"/>
      <x:c r="Y6" s="65"/>
      <x:c r="Z6" s="65"/>
      <x:c r="AA6" s="65"/>
      <x:c r="AB6" s="65"/>
      <x:c r="AC6" s="65"/>
      <x:c r="AD6" s="65"/>
    </x:row>
    <x:row r="7">
      <x:c r="A7" s="65"/>
      <x:c r="B7" s="65"/>
      <x:c r="C7" s="65"/>
      <x:c r="D7" s="65"/>
      <x:c r="E7" s="65"/>
      <x:c r="F7" s="65"/>
      <x:c r="G7" s="65"/>
      <x:c r="H7" s="65"/>
      <x:c r="I7" s="65"/>
      <x:c r="J7" s="65"/>
      <x:c r="K7" s="65"/>
      <x:c r="L7" s="65"/>
      <x:c r="M7" s="65"/>
      <x:c r="N7" s="65"/>
      <x:c r="O7" s="65"/>
      <x:c r="P7" s="65"/>
      <x:c r="Q7" s="65"/>
      <x:c r="R7" s="65"/>
      <x:c r="S7" s="65"/>
      <x:c r="T7" s="65"/>
      <x:c r="U7" s="65"/>
      <x:c r="V7" s="65"/>
      <x:c r="W7" s="65"/>
      <x:c r="X7" s="65"/>
      <x:c r="Y7" s="65"/>
      <x:c r="Z7" s="65"/>
      <x:c r="AA7" s="65"/>
      <x:c r="AB7" s="65"/>
      <x:c r="AC7" s="65"/>
      <x:c r="AD7" s="65"/>
    </x:row>
    <x:row r="8">
      <x:c r="A8" s="30" t="str">
        <x:v>ID_QA</x:v>
      </x:c>
      <x:c r="B8" s="54" t="str">
        <x:v>EMPLEADO</x:v>
      </x:c>
      <x:c r="C8" s="54" t="str">
        <x:v>RFC</x:v>
      </x:c>
      <x:c r="D8" s="54" t="str">
        <x:v>CURP</x:v>
      </x:c>
      <x:c r="E8" s="54" t="str">
        <x:v>NSS</x:v>
      </x:c>
      <x:c r="F8" s="54" t="str">
        <x:v>BANCO</x:v>
      </x:c>
      <x:c r="G8" s="54" t="str">
        <x:v>CUENTA</x:v>
      </x:c>
      <x:c r="H8" s="54" t="str">
        <x:v>CLABE</x:v>
      </x:c>
      <x:c r="I8" s="54" t="str">
        <x:v>NETO</x:v>
      </x:c>
      <x:c r="J8" s="54" t="str">
        <x:v>MISMO_BANCO</x:v>
      </x:c>
      <x:c r="K8" s="54" t="str">
        <x:v>SPEI</x:v>
      </x:c>
      <x:c r="L8" s="54" t="str">
        <x:v>VALES</x:v>
      </x:c>
      <x:c r="M8" s="54" t="str">
        <x:v>TOTAL_CONTROL</x:v>
      </x:c>
      <x:c r="N8" s="54" t="str">
        <x:v>VALIDACIÓN</x:v>
      </x:c>
      <x:c r="O8" s="31" t="str">
        <x:v>CANAL_PRINCIPAL</x:v>
      </x:c>
      <x:c r="P8" s="65"/>
      <x:c r="Q8" s="65"/>
      <x:c r="R8" s="65"/>
      <x:c r="S8" s="65"/>
      <x:c r="T8" s="65"/>
      <x:c r="U8" s="65"/>
      <x:c r="V8" s="65"/>
      <x:c r="W8" s="65"/>
      <x:c r="X8" s="65"/>
      <x:c r="Y8" s="65"/>
      <x:c r="Z8" s="65"/>
      <x:c r="AA8" s="65"/>
      <x:c r="AB8" s="65"/>
      <x:c r="AC8" s="65"/>
      <x:c r="AD8" s="89" t="str">
        <x:v>IMPORTE_SPEI_QA_AD</x:v>
      </x:c>
    </x:row>
    <x:row r="9">
      <x:c r="A9" s="102" t="str">
        <x:v>QA-001</x:v>
      </x:c>
      <x:c r="B9" s="65" t="str">
        <x:v>PERSONA PRUEBA UNO</x:v>
      </x:c>
      <x:c r="C9" s="65" t="str">
        <x:v>PRUE010101AA1</x:v>
      </x:c>
      <x:c r="D9" s="65" t="str">
        <x:v>PRUE010101HDFRRS01</x:v>
      </x:c>
      <x:c r="E9" s="65" t="str">
        <x:v>01010101010</x:v>
      </x:c>
      <x:c r="F9" s="65" t="str">
        <x:v>SANTANDER</x:v>
      </x:c>
      <x:c r="G9" s="65" t="str"/>
      <x:c r="H9" s="65" t="str">
        <x:v>014180000000000001</x:v>
      </x:c>
      <x:c r="I9" s="103" t="n">
        <x:v>1250</x:v>
      </x:c>
      <x:c r="J9" s="103" t="n">
        <x:v>0</x:v>
      </x:c>
      <x:c r="K9" s="103" t="n">
        <x:v>1250</x:v>
      </x:c>
      <x:c r="L9" s="103" t="n">
        <x:v>0</x:v>
      </x:c>
      <x:c r="M9" s="103" t="n">
        <x:f>SUM(J9:L9)</x:f>
        <x:v>1250</x:v>
      </x:c>
      <x:c r="N9" s="65" t="str">
        <x:f>IF(ABS(I9-M9)&lt;0.01,"OK","REVISAR")</x:f>
        <x:v>OK</x:v>
      </x:c>
      <x:c r="O9" s="67" t="str">
        <x:v>SPEI</x:v>
      </x:c>
      <x:c r="P9" s="65"/>
      <x:c r="Q9" s="65"/>
      <x:c r="R9" s="65"/>
      <x:c r="S9" s="65"/>
      <x:c r="T9" s="65"/>
      <x:c r="U9" s="65"/>
      <x:c r="V9" s="65"/>
      <x:c r="W9" s="65"/>
      <x:c r="X9" s="65"/>
      <x:c r="Y9" s="65"/>
      <x:c r="Z9" s="65"/>
      <x:c r="AA9" s="65"/>
      <x:c r="AB9" s="65"/>
      <x:c r="AC9" s="65"/>
      <x:c r="AD9" s="104" t="n">
        <x:f>K9</x:f>
        <x:v>1250</x:v>
      </x:c>
    </x:row>
    <x:row r="10">
      <x:c r="A10" s="102" t="str">
        <x:v>QA-002</x:v>
      </x:c>
      <x:c r="B10" s="65" t="str">
        <x:v>PERSONA PRUEBA DOS</x:v>
      </x:c>
      <x:c r="C10" s="65" t="str">
        <x:v>PRUE020202BB2</x:v>
      </x:c>
      <x:c r="D10" s="65" t="str">
        <x:v>PRUE020202MDFRRS02</x:v>
      </x:c>
      <x:c r="E10" s="65" t="str">
        <x:v>02020202020</x:v>
      </x:c>
      <x:c r="F10" s="65" t="str">
        <x:v>BBVA</x:v>
      </x:c>
      <x:c r="G10" s="65" t="str">
        <x:v>000000000000000002</x:v>
      </x:c>
      <x:c r="H10" s="65" t="str"/>
      <x:c r="I10" s="103" t="n">
        <x:v>9800</x:v>
      </x:c>
      <x:c r="J10" s="103" t="n">
        <x:v>9800</x:v>
      </x:c>
      <x:c r="K10" s="103" t="n">
        <x:v>0</x:v>
      </x:c>
      <x:c r="L10" s="103" t="n">
        <x:v>0</x:v>
      </x:c>
      <x:c r="M10" s="103" t="n">
        <x:f>SUM(J10:L10)</x:f>
        <x:v>9800</x:v>
      </x:c>
      <x:c r="N10" s="65" t="str">
        <x:f>IF(ABS(I10-M10)&lt;0.01,"OK","REVISAR")</x:f>
        <x:v>OK</x:v>
      </x:c>
      <x:c r="O10" s="67" t="str">
        <x:v>MISMO BANCO</x:v>
      </x:c>
      <x:c r="P10" s="65"/>
      <x:c r="Q10" s="65"/>
      <x:c r="R10" s="65"/>
      <x:c r="S10" s="65"/>
      <x:c r="T10" s="65"/>
      <x:c r="U10" s="65"/>
      <x:c r="V10" s="65"/>
      <x:c r="W10" s="65"/>
      <x:c r="X10" s="65"/>
      <x:c r="Y10" s="65"/>
      <x:c r="Z10" s="65"/>
      <x:c r="AA10" s="65"/>
      <x:c r="AB10" s="65"/>
      <x:c r="AC10" s="65"/>
      <x:c r="AD10" s="104" t="n">
        <x:v>0</x:v>
      </x:c>
    </x:row>
    <x:row r="11">
      <x:c r="A11" s="102" t="str">
        <x:v>QA-003</x:v>
      </x:c>
      <x:c r="B11" s="65" t="str">
        <x:v>PERSONA PRUEBA TRES</x:v>
      </x:c>
      <x:c r="C11" s="65" t="str">
        <x:v>PRUE030303CC3</x:v>
      </x:c>
      <x:c r="D11" s="65" t="str">
        <x:v>PRUE030303HDFRRS03</x:v>
      </x:c>
      <x:c r="E11" s="65" t="str">
        <x:v>03030303030</x:v>
      </x:c>
      <x:c r="F11" s="65" t="str">
        <x:v>BANORTE</x:v>
      </x:c>
      <x:c r="G11" s="65" t="str"/>
      <x:c r="H11" s="65" t="str">
        <x:v>072180000000000003</x:v>
      </x:c>
      <x:c r="I11" s="103" t="n">
        <x:v>15750.25</x:v>
      </x:c>
      <x:c r="J11" s="103" t="n">
        <x:v>0</x:v>
      </x:c>
      <x:c r="K11" s="103" t="n">
        <x:v>15750.25</x:v>
      </x:c>
      <x:c r="L11" s="103" t="n">
        <x:v>0</x:v>
      </x:c>
      <x:c r="M11" s="103" t="n">
        <x:f>SUM(J11:L11)</x:f>
        <x:v>15750.25</x:v>
      </x:c>
      <x:c r="N11" s="65" t="str">
        <x:f>IF(ABS(I11-M11)&lt;0.01,"OK","REVISAR")</x:f>
        <x:v>OK</x:v>
      </x:c>
      <x:c r="O11" s="67" t="str">
        <x:v>SPEI</x:v>
      </x:c>
      <x:c r="P11" s="65"/>
      <x:c r="Q11" s="65"/>
      <x:c r="R11" s="65"/>
      <x:c r="S11" s="65"/>
      <x:c r="T11" s="65"/>
      <x:c r="U11" s="65"/>
      <x:c r="V11" s="65"/>
      <x:c r="W11" s="65"/>
      <x:c r="X11" s="65"/>
      <x:c r="Y11" s="65"/>
      <x:c r="Z11" s="65"/>
      <x:c r="AA11" s="65"/>
      <x:c r="AB11" s="65"/>
      <x:c r="AC11" s="65"/>
      <x:c r="AD11" s="104" t="n">
        <x:f>K11</x:f>
        <x:v>15750.25</x:v>
      </x:c>
    </x:row>
    <x:row r="12">
      <x:c r="A12" s="102" t="str">
        <x:v>QA-004</x:v>
      </x:c>
      <x:c r="B12" s="65" t="str">
        <x:v>PERSONA PRUEBA CUATRO</x:v>
      </x:c>
      <x:c r="C12" s="65" t="str">
        <x:v>PRUE040404DD4</x:v>
      </x:c>
      <x:c r="D12" s="65" t="str">
        <x:v>PRUE040404MDFRRS04</x:v>
      </x:c>
      <x:c r="E12" s="65" t="str">
        <x:v>04040404040</x:v>
      </x:c>
      <x:c r="F12" s="65" t="str">
        <x:v>BBVA</x:v>
      </x:c>
      <x:c r="G12" s="65" t="str">
        <x:v>000000000000000004</x:v>
      </x:c>
      <x:c r="H12" s="65" t="str"/>
      <x:c r="I12" s="103" t="n">
        <x:v>6400</x:v>
      </x:c>
      <x:c r="J12" s="103" t="n">
        <x:v>5800</x:v>
      </x:c>
      <x:c r="K12" s="103" t="n">
        <x:v>0</x:v>
      </x:c>
      <x:c r="L12" s="103" t="n">
        <x:v>600</x:v>
      </x:c>
      <x:c r="M12" s="103" t="n">
        <x:f>SUM(J12:L12)</x:f>
        <x:v>6400</x:v>
      </x:c>
      <x:c r="N12" s="65" t="str">
        <x:f>IF(ABS(I12-M12)&lt;0.01,"OK","REVISAR")</x:f>
        <x:v>OK</x:v>
      </x:c>
      <x:c r="O12" s="67" t="str">
        <x:v>MISMO BANCO</x:v>
      </x:c>
      <x:c r="P12" s="65"/>
      <x:c r="Q12" s="65"/>
      <x:c r="R12" s="65"/>
      <x:c r="S12" s="65"/>
      <x:c r="T12" s="65"/>
      <x:c r="U12" s="65"/>
      <x:c r="V12" s="65"/>
      <x:c r="W12" s="65"/>
      <x:c r="X12" s="65"/>
      <x:c r="Y12" s="65"/>
      <x:c r="Z12" s="65"/>
      <x:c r="AA12" s="65"/>
      <x:c r="AB12" s="65"/>
      <x:c r="AC12" s="65"/>
      <x:c r="AD12" s="104" t="n">
        <x:v>0</x:v>
      </x:c>
    </x:row>
    <x:row r="13">
      <x:c r="A13" s="102" t="str">
        <x:v>QA-005</x:v>
      </x:c>
      <x:c r="B13" s="65" t="str">
        <x:v>PERSONA PRUEBA CINCO</x:v>
      </x:c>
      <x:c r="C13" s="65" t="str">
        <x:v>PRUE050505EE5</x:v>
      </x:c>
      <x:c r="D13" s="65" t="str">
        <x:v>PRUE050505HDFRRS05</x:v>
      </x:c>
      <x:c r="E13" s="65" t="str">
        <x:v>05050505050</x:v>
      </x:c>
      <x:c r="F13" s="65" t="str">
        <x:v>BBVA</x:v>
      </x:c>
      <x:c r="G13" s="65" t="str">
        <x:v>000000000000000005</x:v>
      </x:c>
      <x:c r="H13" s="65" t="str"/>
      <x:c r="I13" s="103" t="n">
        <x:v>7250.5</x:v>
      </x:c>
      <x:c r="J13" s="103" t="n">
        <x:v>7250.5</x:v>
      </x:c>
      <x:c r="K13" s="103" t="n">
        <x:v>0</x:v>
      </x:c>
      <x:c r="L13" s="103" t="n">
        <x:v>0</x:v>
      </x:c>
      <x:c r="M13" s="103" t="n">
        <x:f>SUM(J13:L13)</x:f>
        <x:v>7250.5</x:v>
      </x:c>
      <x:c r="N13" s="65" t="str">
        <x:f>IF(ABS(I13-M13)&lt;0.01,"OK","REVISAR")</x:f>
        <x:v>OK</x:v>
      </x:c>
      <x:c r="O13" s="67" t="str">
        <x:v>MISMO BANCO</x:v>
      </x:c>
      <x:c r="P13" s="65"/>
      <x:c r="Q13" s="65"/>
      <x:c r="R13" s="65"/>
      <x:c r="S13" s="65"/>
      <x:c r="T13" s="65"/>
      <x:c r="U13" s="65"/>
      <x:c r="V13" s="65"/>
      <x:c r="W13" s="65"/>
      <x:c r="X13" s="65"/>
      <x:c r="Y13" s="65"/>
      <x:c r="Z13" s="65"/>
      <x:c r="AA13" s="65"/>
      <x:c r="AB13" s="65"/>
      <x:c r="AC13" s="65"/>
      <x:c r="AD13" s="104" t="n">
        <x:v>0</x:v>
      </x:c>
    </x:row>
    <x:row r="14">
      <x:c r="A14" s="102" t="str">
        <x:v>QA-006</x:v>
      </x:c>
      <x:c r="B14" s="65" t="str">
        <x:v>PERSONA PRUEBA SEIS</x:v>
      </x:c>
      <x:c r="C14" s="65" t="str">
        <x:v>PRUE060606FF6</x:v>
      </x:c>
      <x:c r="D14" s="65" t="str">
        <x:v>PRUE060606MDFRRS06</x:v>
      </x:c>
      <x:c r="E14" s="65" t="str">
        <x:v>06060606060</x:v>
      </x:c>
      <x:c r="F14" s="65" t="str">
        <x:v>HSBC</x:v>
      </x:c>
      <x:c r="G14" s="65" t="str"/>
      <x:c r="H14" s="65" t="str">
        <x:v>021180000000000006</x:v>
      </x:c>
      <x:c r="I14" s="103" t="n">
        <x:v>9300</x:v>
      </x:c>
      <x:c r="J14" s="103" t="n">
        <x:v>0</x:v>
      </x:c>
      <x:c r="K14" s="103" t="n">
        <x:v>8400</x:v>
      </x:c>
      <x:c r="L14" s="103" t="n">
        <x:v>900</x:v>
      </x:c>
      <x:c r="M14" s="103" t="n">
        <x:f>SUM(J14:L14)</x:f>
        <x:v>9300</x:v>
      </x:c>
      <x:c r="N14" s="65" t="str">
        <x:f>IF(ABS(I14-M14)&lt;0.01,"OK","REVISAR")</x:f>
        <x:v>OK</x:v>
      </x:c>
      <x:c r="O14" s="67" t="str">
        <x:v>SPEI</x:v>
      </x:c>
      <x:c r="P14" s="65"/>
      <x:c r="Q14" s="65"/>
      <x:c r="R14" s="65"/>
      <x:c r="S14" s="65"/>
      <x:c r="T14" s="65"/>
      <x:c r="U14" s="65"/>
      <x:c r="V14" s="65"/>
      <x:c r="W14" s="65"/>
      <x:c r="X14" s="65"/>
      <x:c r="Y14" s="65"/>
      <x:c r="Z14" s="65"/>
      <x:c r="AA14" s="65"/>
      <x:c r="AB14" s="65"/>
      <x:c r="AC14" s="65"/>
      <x:c r="AD14" s="104" t="n">
        <x:f>K14</x:f>
        <x:v>8400</x:v>
      </x:c>
    </x:row>
    <x:row r="15">
      <x:c r="A15" s="102" t="str"/>
      <x:c r="B15" s="65" t="str"/>
      <x:c r="C15" s="65" t="str"/>
      <x:c r="D15" s="65" t="str"/>
      <x:c r="E15" s="65" t="str"/>
      <x:c r="F15" s="65" t="str"/>
      <x:c r="G15" s="65" t="str"/>
      <x:c r="H15" s="65" t="str"/>
      <x:c r="I15" s="103" t="str"/>
      <x:c r="J15" s="103" t="str"/>
      <x:c r="K15" s="103" t="str"/>
      <x:c r="L15" s="103" t="str"/>
      <x:c r="M15" s="103" t="str"/>
      <x:c r="N15" s="65" t="str"/>
      <x:c r="O15" s="67" t="str"/>
      <x:c r="P15" s="65"/>
      <x:c r="Q15" s="65"/>
      <x:c r="R15" s="65"/>
      <x:c r="S15" s="65"/>
      <x:c r="T15" s="65"/>
      <x:c r="U15" s="65"/>
      <x:c r="V15" s="65"/>
      <x:c r="W15" s="65"/>
      <x:c r="X15" s="65"/>
      <x:c r="Y15" s="65"/>
      <x:c r="Z15" s="65"/>
      <x:c r="AA15" s="65"/>
      <x:c r="AB15" s="65"/>
      <x:c r="AC15" s="65"/>
      <x:c r="AD15" s="104" t="str"/>
    </x:row>
    <x:row r="16">
      <x:c r="A16" s="102" t="str"/>
      <x:c r="B16" s="65" t="str"/>
      <x:c r="C16" s="65" t="str"/>
      <x:c r="D16" s="65" t="str"/>
      <x:c r="E16" s="65" t="str"/>
      <x:c r="F16" s="65" t="str"/>
      <x:c r="G16" s="65" t="str"/>
      <x:c r="H16" s="65" t="str"/>
      <x:c r="I16" s="103" t="str"/>
      <x:c r="J16" s="103" t="str"/>
      <x:c r="K16" s="103" t="str"/>
      <x:c r="L16" s="103" t="str"/>
      <x:c r="M16" s="103" t="str"/>
      <x:c r="N16" s="65" t="str"/>
      <x:c r="O16" s="67" t="str"/>
      <x:c r="P16" s="65"/>
      <x:c r="Q16" s="65"/>
      <x:c r="R16" s="65"/>
      <x:c r="S16" s="65"/>
      <x:c r="T16" s="65"/>
      <x:c r="U16" s="65"/>
      <x:c r="V16" s="65"/>
      <x:c r="W16" s="65"/>
      <x:c r="X16" s="65"/>
      <x:c r="Y16" s="65"/>
      <x:c r="Z16" s="65"/>
      <x:c r="AA16" s="65"/>
      <x:c r="AB16" s="65"/>
      <x:c r="AC16" s="65"/>
      <x:c r="AD16" s="104" t="str"/>
    </x:row>
    <x:row r="17">
      <x:c r="A17" s="102" t="str"/>
      <x:c r="B17" s="65" t="str"/>
      <x:c r="C17" s="65" t="str"/>
      <x:c r="D17" s="65" t="str"/>
      <x:c r="E17" s="65" t="str"/>
      <x:c r="F17" s="65" t="str"/>
      <x:c r="G17" s="65" t="str"/>
      <x:c r="H17" s="65" t="str"/>
      <x:c r="I17" s="103" t="str"/>
      <x:c r="J17" s="103" t="str"/>
      <x:c r="K17" s="103" t="str"/>
      <x:c r="L17" s="103" t="str"/>
      <x:c r="M17" s="103" t="str"/>
      <x:c r="N17" s="65" t="str"/>
      <x:c r="O17" s="67" t="str"/>
      <x:c r="P17" s="65"/>
      <x:c r="Q17" s="65"/>
      <x:c r="R17" s="65"/>
      <x:c r="S17" s="65"/>
      <x:c r="T17" s="65"/>
      <x:c r="U17" s="65"/>
      <x:c r="V17" s="65"/>
      <x:c r="W17" s="65"/>
      <x:c r="X17" s="65"/>
      <x:c r="Y17" s="65"/>
      <x:c r="Z17" s="65"/>
      <x:c r="AA17" s="65"/>
      <x:c r="AB17" s="65"/>
      <x:c r="AC17" s="65"/>
      <x:c r="AD17" s="104" t="str"/>
    </x:row>
    <x:row r="18">
      <x:c r="A18" s="102" t="str">
        <x:v>QA-007</x:v>
      </x:c>
      <x:c r="B18" s="65" t="str">
        <x:v>PERSONA PRUEBA SIETE</x:v>
      </x:c>
      <x:c r="C18" s="65" t="str">
        <x:v>PRUE070707GG7</x:v>
      </x:c>
      <x:c r="D18" s="65" t="str">
        <x:v>PRUE070707HDFRRS07</x:v>
      </x:c>
      <x:c r="E18" s="65" t="str">
        <x:v>07070707070</x:v>
      </x:c>
      <x:c r="F18" s="65" t="str">
        <x:v>SANTANDER</x:v>
      </x:c>
      <x:c r="G18" s="65" t="str"/>
      <x:c r="H18" s="65" t="str">
        <x:v>014180000000000007</x:v>
      </x:c>
      <x:c r="I18" s="103" t="n">
        <x:v>11200.75</x:v>
      </x:c>
      <x:c r="J18" s="103" t="n">
        <x:v>0</x:v>
      </x:c>
      <x:c r="K18" s="103" t="n">
        <x:v>11200.75</x:v>
      </x:c>
      <x:c r="L18" s="103" t="n">
        <x:v>0</x:v>
      </x:c>
      <x:c r="M18" s="103" t="n">
        <x:f>SUM(J18:L18)</x:f>
        <x:v>11200.75</x:v>
      </x:c>
      <x:c r="N18" s="65" t="str">
        <x:f>IF(ABS(I18-M18)&lt;0.01,"OK","REVISAR")</x:f>
        <x:v>OK</x:v>
      </x:c>
      <x:c r="O18" s="67" t="str">
        <x:v>SPEI</x:v>
      </x:c>
      <x:c r="P18" s="65"/>
      <x:c r="Q18" s="65"/>
      <x:c r="R18" s="65"/>
      <x:c r="S18" s="65"/>
      <x:c r="T18" s="65"/>
      <x:c r="U18" s="65"/>
      <x:c r="V18" s="65"/>
      <x:c r="W18" s="65"/>
      <x:c r="X18" s="65"/>
      <x:c r="Y18" s="65"/>
      <x:c r="Z18" s="65"/>
      <x:c r="AA18" s="65"/>
      <x:c r="AB18" s="65"/>
      <x:c r="AC18" s="65"/>
      <x:c r="AD18" s="104" t="n">
        <x:f>K18</x:f>
        <x:v>11200.75</x:v>
      </x:c>
    </x:row>
    <x:row r="19">
      <x:c r="A19" s="102" t="str">
        <x:v>QA-008</x:v>
      </x:c>
      <x:c r="B19" s="65" t="str">
        <x:v>PERSONA PRUEBA OCHO</x:v>
      </x:c>
      <x:c r="C19" s="65" t="str">
        <x:v>PRUE080808HH8</x:v>
      </x:c>
      <x:c r="D19" s="65" t="str">
        <x:v>PRUE080808MDFRRS08</x:v>
      </x:c>
      <x:c r="E19" s="65" t="str">
        <x:v>08080808080</x:v>
      </x:c>
      <x:c r="F19" s="65" t="str">
        <x:v>BANORTE</x:v>
      </x:c>
      <x:c r="G19" s="65" t="str"/>
      <x:c r="H19" s="65" t="str">
        <x:v>072180000000000008</x:v>
      </x:c>
      <x:c r="I19" s="103" t="n">
        <x:v>5700</x:v>
      </x:c>
      <x:c r="J19" s="103" t="n">
        <x:v>0</x:v>
      </x:c>
      <x:c r="K19" s="103" t="n">
        <x:v>5100</x:v>
      </x:c>
      <x:c r="L19" s="103" t="n">
        <x:v>600</x:v>
      </x:c>
      <x:c r="M19" s="103" t="n">
        <x:f>SUM(J19:L19)</x:f>
        <x:v>5700</x:v>
      </x:c>
      <x:c r="N19" s="65" t="str">
        <x:f>IF(ABS(I19-M19)&lt;0.01,"OK","REVISAR")</x:f>
        <x:v>OK</x:v>
      </x:c>
      <x:c r="O19" s="67" t="str">
        <x:v>SPEI</x:v>
      </x:c>
      <x:c r="P19" s="65"/>
      <x:c r="Q19" s="65"/>
      <x:c r="R19" s="65"/>
      <x:c r="S19" s="65"/>
      <x:c r="T19" s="65"/>
      <x:c r="U19" s="65"/>
      <x:c r="V19" s="65"/>
      <x:c r="W19" s="65"/>
      <x:c r="X19" s="65"/>
      <x:c r="Y19" s="65"/>
      <x:c r="Z19" s="65"/>
      <x:c r="AA19" s="65"/>
      <x:c r="AB19" s="65"/>
      <x:c r="AC19" s="65"/>
      <x:c r="AD19" s="104" t="n">
        <x:f>K19</x:f>
        <x:v>5100</x:v>
      </x:c>
    </x:row>
    <x:row r="20">
      <x:c r="A20" s="102"/>
      <x:c r="B20" s="65"/>
      <x:c r="C20" s="65"/>
      <x:c r="D20" s="65"/>
      <x:c r="E20" s="65"/>
      <x:c r="F20" s="65"/>
      <x:c r="G20" s="65"/>
      <x:c r="H20" s="65"/>
      <x:c r="I20" s="103"/>
      <x:c r="J20" s="103"/>
      <x:c r="K20" s="103"/>
      <x:c r="L20" s="103"/>
      <x:c r="M20" s="103"/>
      <x:c r="N20" s="65"/>
      <x:c r="O20" s="67"/>
      <x:c r="P20" s="65"/>
      <x:c r="Q20" s="65"/>
      <x:c r="R20" s="65"/>
      <x:c r="S20" s="65"/>
      <x:c r="T20" s="65"/>
      <x:c r="U20" s="65"/>
      <x:c r="V20" s="65"/>
      <x:c r="W20" s="65"/>
      <x:c r="X20" s="65"/>
      <x:c r="Y20" s="65"/>
      <x:c r="Z20" s="65"/>
      <x:c r="AA20" s="65"/>
      <x:c r="AB20" s="65"/>
      <x:c r="AC20" s="65"/>
      <x:c r="AD20" s="104"/>
    </x:row>
    <x:row r="21">
      <x:c r="A21" s="105" t="str">
        <x:v>TOTALES QA</x:v>
      </x:c>
      <x:c r="B21" s="106"/>
      <x:c r="C21" s="106"/>
      <x:c r="D21" s="106"/>
      <x:c r="E21" s="106"/>
      <x:c r="F21" s="106"/>
      <x:c r="G21" s="106"/>
      <x:c r="H21" s="106"/>
      <x:c r="I21" s="72" t="n">
        <x:f>SUM(I9:I19)</x:f>
        <x:v>66651.5</x:v>
      </x:c>
      <x:c r="J21" s="72" t="n">
        <x:f>SUM(J9:J19)</x:f>
        <x:v>22850.5</x:v>
      </x:c>
      <x:c r="K21" s="72" t="n">
        <x:f>SUM(K9:K19)</x:f>
        <x:v>41701</x:v>
      </x:c>
      <x:c r="L21" s="72" t="n">
        <x:f>SUM(L9:L19)</x:f>
        <x:v>2100</x:v>
      </x:c>
      <x:c r="M21" s="72" t="n">
        <x:f>SUM(M9:M19)</x:f>
        <x:v>66651.5</x:v>
      </x:c>
      <x:c r="N21" s="101" t="str">
        <x:f>IF(ABS(I21-M21)&lt;0.01,"CUADRA","REVISAR")</x:f>
        <x:v>CUADRA</x:v>
      </x:c>
      <x:c r="O21" s="69" t="str">
        <x:v>CONTROL</x:v>
      </x:c>
      <x:c r="P21" s="65"/>
      <x:c r="Q21" s="65"/>
      <x:c r="R21" s="65"/>
      <x:c r="S21" s="65"/>
      <x:c r="T21" s="65"/>
      <x:c r="U21" s="65"/>
      <x:c r="V21" s="65"/>
      <x:c r="W21" s="65"/>
      <x:c r="X21" s="65"/>
      <x:c r="Y21" s="65"/>
      <x:c r="Z21" s="65"/>
      <x:c r="AA21" s="65"/>
      <x:c r="AB21" s="65"/>
      <x:c r="AC21" s="65"/>
      <x:c r="AD21" s="107" t="n">
        <x:f>SUM(AD9:AD19)</x:f>
        <x:v>41701</x:v>
      </x:c>
    </x:row>
    <x:row r="22">
      <x:c r="A22" s="65"/>
      <x:c r="B22" s="65"/>
      <x:c r="C22" s="65"/>
      <x:c r="D22" s="65"/>
      <x:c r="E22" s="65"/>
      <x:c r="F22" s="65"/>
      <x:c r="G22" s="65"/>
      <x:c r="H22" s="65"/>
      <x:c r="I22" s="65"/>
      <x:c r="J22" s="65"/>
      <x:c r="K22" s="65"/>
      <x:c r="L22" s="65"/>
      <x:c r="M22" s="65"/>
      <x:c r="N22" s="65"/>
      <x:c r="O22" s="65"/>
      <x:c r="P22" s="65"/>
      <x:c r="Q22" s="65"/>
      <x:c r="R22" s="65"/>
      <x:c r="S22" s="65"/>
      <x:c r="T22" s="65"/>
      <x:c r="U22" s="65"/>
      <x:c r="V22" s="65"/>
      <x:c r="W22" s="65"/>
      <x:c r="X22" s="65"/>
      <x:c r="Y22" s="65"/>
      <x:c r="Z22" s="65"/>
      <x:c r="AA22" s="65"/>
      <x:c r="AB22" s="65"/>
      <x:c r="AC22" s="65"/>
      <x:c r="AD22" s="65"/>
    </x:row>
    <x:row r="23" ht="45" customHeight="1">
      <x:c r="A23" s="14" t="str">
        <x:v>POSICIONES RECUPERADAS DEL VÍNCULO EXTERNO (sólo QA): C6→AD18, C7→AD11, C8→AD19, C9→AD14, C10→AD9. Los valores AD de esta hoja son sintéticos y únicamente permiten ejercitar esas referencias.</x:v>
      </x:c>
      <x:c r="B23" s="14"/>
      <x:c r="C23" s="14"/>
      <x:c r="D23" s="14"/>
      <x:c r="E23" s="14"/>
      <x:c r="F23" s="14"/>
      <x:c r="G23" s="14"/>
      <x:c r="H23" s="14"/>
      <x:c r="I23" s="14"/>
      <x:c r="J23" s="14"/>
      <x:c r="K23" s="14"/>
      <x:c r="L23" s="14"/>
      <x:c r="M23" s="14"/>
      <x:c r="N23" s="14"/>
      <x:c r="O23" s="14"/>
      <x:c r="P23" s="14"/>
      <x:c r="Q23" s="14"/>
      <x:c r="R23" s="14"/>
      <x:c r="S23" s="14"/>
      <x:c r="T23" s="14"/>
      <x:c r="U23" s="14"/>
      <x:c r="V23" s="14"/>
      <x:c r="W23" s="14"/>
      <x:c r="X23" s="14"/>
      <x:c r="Y23" s="14"/>
      <x:c r="Z23" s="14"/>
      <x:c r="AA23" s="14"/>
      <x:c r="AB23" s="14"/>
      <x:c r="AC23" s="14"/>
      <x:c r="AD23" s="14"/>
    </x:row>
    <x:row r="24" ht="45" customHeight="1">
      <x:c r="A24" s="14"/>
      <x:c r="B24" s="14"/>
      <x:c r="C24" s="14"/>
      <x:c r="D24" s="14"/>
      <x:c r="E24" s="14"/>
      <x:c r="F24" s="14"/>
      <x:c r="G24" s="14"/>
      <x:c r="H24" s="14"/>
      <x:c r="I24" s="14"/>
      <x:c r="J24" s="14"/>
      <x:c r="K24" s="14"/>
      <x:c r="L24" s="14"/>
      <x:c r="M24" s="14"/>
      <x:c r="N24" s="14"/>
      <x:c r="O24" s="14"/>
      <x:c r="P24" s="14"/>
      <x:c r="Q24" s="14"/>
      <x:c r="R24" s="14"/>
      <x:c r="S24" s="14"/>
      <x:c r="T24" s="14"/>
      <x:c r="U24" s="14"/>
      <x:c r="V24" s="14"/>
      <x:c r="W24" s="14"/>
      <x:c r="X24" s="14"/>
      <x:c r="Y24" s="14"/>
      <x:c r="Z24" s="14"/>
      <x:c r="AA24" s="14"/>
      <x:c r="AB24" s="14"/>
      <x:c r="AC24" s="14"/>
      <x:c r="AD24" s="14"/>
    </x:row>
    <x:row r="25" ht="45" customHeight="1">
      <x:c r="A25" s="14"/>
      <x:c r="B25" s="14"/>
      <x:c r="C25" s="14"/>
      <x:c r="D25" s="14"/>
      <x:c r="E25" s="14"/>
      <x:c r="F25" s="14"/>
      <x:c r="G25" s="14"/>
      <x:c r="H25" s="14"/>
      <x:c r="I25" s="14"/>
      <x:c r="J25" s="14"/>
      <x:c r="K25" s="14"/>
      <x:c r="L25" s="14"/>
      <x:c r="M25" s="14"/>
      <x:c r="N25" s="14"/>
      <x:c r="O25" s="14"/>
      <x:c r="P25" s="14"/>
      <x:c r="Q25" s="14"/>
      <x:c r="R25" s="14"/>
      <x:c r="S25" s="14"/>
      <x:c r="T25" s="14"/>
      <x:c r="U25" s="14"/>
      <x:c r="V25" s="14"/>
      <x:c r="W25" s="14"/>
      <x:c r="X25" s="14"/>
      <x:c r="Y25" s="14"/>
      <x:c r="Z25" s="14"/>
      <x:c r="AA25" s="14"/>
      <x:c r="AB25" s="14"/>
      <x:c r="AC25" s="14"/>
      <x:c r="AD25" s="14"/>
    </x:row>
  </x:sheetData>
  <x:mergeCells>
    <x:mergeCell ref="A1:AD1"/>
    <x:mergeCell ref="A2:AD3"/>
    <x:mergeCell ref="A21:H21"/>
    <x:mergeCell ref="A23:AD25"/>
  </x:mergeCells>
  <x:conditionalFormatting sqref="N9:N21">
    <x:cfRule type="expression" dxfId="0" priority="1">
      <x:formula>N9="REVISAR"</x:formula>
    </x:cfRule>
    <x:cfRule type="expression" dxfId="1" priority="2">
      <x:formula>OR(N9="OK",N9="CUADRA")</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22" hidden="0" customWidth="1"/>
    <x:col min="2" max="2" width="14" hidden="0" customWidth="1"/>
    <x:col min="3" max="3" width="22" hidden="0" customWidth="1"/>
    <x:col min="4" max="4" width="28" hidden="0" customWidth="1"/>
    <x:col min="6" max="6" width="16" hidden="0" customWidth="1"/>
    <x:col min="7" max="7" width="18" hidden="0" customWidth="1"/>
    <x:col min="8" max="8" width="32" hidden="0" customWidth="1"/>
  </x:cols>
  <x:sheetData>
    <x:row r="1">
      <x:c r="A1" s="64" t="str">
        <x:v>MAPEO DE CAMPOS — CONTRATO SINTÉTICO QA</x:v>
      </x:c>
      <x:c r="B1" s="64"/>
      <x:c r="C1" s="64"/>
      <x:c r="D1" s="64"/>
      <x:c r="E1" s="64"/>
      <x:c r="F1" s="64"/>
      <x:c r="G1" s="65"/>
      <x:c r="H1" s="65"/>
    </x:row>
    <x:row r="2">
      <x:c r="A2" s="65"/>
      <x:c r="B2" s="65"/>
      <x:c r="C2" s="65"/>
      <x:c r="D2" s="65"/>
      <x:c r="E2" s="65"/>
      <x:c r="F2" s="65"/>
      <x:c r="G2" s="65"/>
      <x:c r="H2" s="65"/>
    </x:row>
    <x:row r="3">
      <x:c r="A3" s="14" t="str">
        <x:v>Este mapeo sirve para construir pruebas del parser. No representa el layout físico certificado del despacho.</x:v>
      </x:c>
      <x:c r="B3" s="14"/>
      <x:c r="C3" s="14"/>
      <x:c r="D3" s="14"/>
      <x:c r="E3" s="14"/>
      <x:c r="F3" s="14"/>
      <x:c r="G3" s="65"/>
      <x:c r="H3" s="65"/>
    </x:row>
    <x:row r="4">
      <x:c r="A4" s="14"/>
      <x:c r="B4" s="14"/>
      <x:c r="C4" s="14"/>
      <x:c r="D4" s="14"/>
      <x:c r="E4" s="14"/>
      <x:c r="F4" s="14"/>
      <x:c r="G4" s="65"/>
      <x:c r="H4" s="65"/>
    </x:row>
    <x:row r="5">
      <x:c r="A5" s="65"/>
      <x:c r="B5" s="65"/>
      <x:c r="C5" s="65"/>
      <x:c r="D5" s="65"/>
      <x:c r="E5" s="65"/>
      <x:c r="F5" s="65"/>
      <x:c r="G5" s="65"/>
      <x:c r="H5" s="65"/>
    </x:row>
    <x:row r="6">
      <x:c r="A6" s="30" t="str">
        <x:v>Campo canónico</x:v>
      </x:c>
      <x:c r="B6" s="54" t="str">
        <x:v>Columna QA</x:v>
      </x:c>
      <x:c r="C6" s="54" t="str">
        <x:v>Header QA</x:v>
      </x:c>
      <x:c r="D6" s="31" t="str">
        <x:v>Uso</x:v>
      </x:c>
      <x:c r="E6" s="65"/>
      <x:c r="F6" s="30" t="str">
        <x:v>Target macro</x:v>
      </x:c>
      <x:c r="G6" s="54" t="str">
        <x:v>Origen sintético</x:v>
      </x:c>
      <x:c r="H6" s="31" t="str">
        <x:v>Nota</x:v>
      </x:c>
    </x:row>
    <x:row r="7">
      <x:c r="A7" s="102" t="str">
        <x:v>employeeName</x:v>
      </x:c>
      <x:c r="B7" s="65" t="str">
        <x:v>B</x:v>
      </x:c>
      <x:c r="C7" s="65" t="str">
        <x:v>EMPLEADO</x:v>
      </x:c>
      <x:c r="D7" s="67" t="str">
        <x:v>Identidad sintética</x:v>
      </x:c>
      <x:c r="E7" s="65"/>
      <x:c r="F7" s="102" t="str">
        <x:v>C6</x:v>
      </x:c>
      <x:c r="G7" s="65" t="str">
        <x:v>AD18</x:v>
      </x:c>
      <x:c r="H7" s="67" t="str">
        <x:v>Posición recuperada</x:v>
      </x:c>
    </x:row>
    <x:row r="8">
      <x:c r="A8" s="102" t="str">
        <x:v>rfc</x:v>
      </x:c>
      <x:c r="B8" s="65" t="str">
        <x:v>C</x:v>
      </x:c>
      <x:c r="C8" s="65" t="str">
        <x:v>RFC</x:v>
      </x:c>
      <x:c r="D8" s="67" t="str">
        <x:v>Matching sintético</x:v>
      </x:c>
      <x:c r="E8" s="65"/>
      <x:c r="F8" s="102" t="str">
        <x:v>C7</x:v>
      </x:c>
      <x:c r="G8" s="65" t="str">
        <x:v>AD11</x:v>
      </x:c>
      <x:c r="H8" s="67" t="str">
        <x:v>Posición recuperada</x:v>
      </x:c>
    </x:row>
    <x:row r="9">
      <x:c r="A9" s="102" t="str">
        <x:v>curp</x:v>
      </x:c>
      <x:c r="B9" s="65" t="str">
        <x:v>D</x:v>
      </x:c>
      <x:c r="C9" s="65" t="str">
        <x:v>CURP</x:v>
      </x:c>
      <x:c r="D9" s="67" t="str">
        <x:v>Matching sintético</x:v>
      </x:c>
      <x:c r="E9" s="65"/>
      <x:c r="F9" s="102" t="str">
        <x:v>C8</x:v>
      </x:c>
      <x:c r="G9" s="65" t="str">
        <x:v>AD19</x:v>
      </x:c>
      <x:c r="H9" s="67" t="str">
        <x:v>Posición recuperada</x:v>
      </x:c>
    </x:row>
    <x:row r="10">
      <x:c r="A10" s="102" t="str">
        <x:v>nss</x:v>
      </x:c>
      <x:c r="B10" s="65" t="str">
        <x:v>E</x:v>
      </x:c>
      <x:c r="C10" s="65" t="str">
        <x:v>NSS</x:v>
      </x:c>
      <x:c r="D10" s="67" t="str">
        <x:v>Matching alterno</x:v>
      </x:c>
      <x:c r="E10" s="65"/>
      <x:c r="F10" s="102" t="str">
        <x:v>C9</x:v>
      </x:c>
      <x:c r="G10" s="65" t="str">
        <x:v>AD14</x:v>
      </x:c>
      <x:c r="H10" s="67" t="str">
        <x:v>Posición recuperada</x:v>
      </x:c>
    </x:row>
    <x:row r="11">
      <x:c r="A11" s="102" t="str">
        <x:v>bankName</x:v>
      </x:c>
      <x:c r="B11" s="65" t="str">
        <x:v>F</x:v>
      </x:c>
      <x:c r="C11" s="65" t="str">
        <x:v>BANCO</x:v>
      </x:c>
      <x:c r="D11" s="67" t="str">
        <x:v>Canal</x:v>
      </x:c>
      <x:c r="E11" s="65"/>
      <x:c r="F11" s="102" t="str">
        <x:v>C10</x:v>
      </x:c>
      <x:c r="G11" s="65" t="str">
        <x:v>AD9</x:v>
      </x:c>
      <x:c r="H11" s="67" t="str">
        <x:v>Posición recuperada</x:v>
      </x:c>
    </x:row>
    <x:row r="12">
      <x:c r="A12" s="102" t="str">
        <x:v>account</x:v>
      </x:c>
      <x:c r="B12" s="65" t="str">
        <x:v>G</x:v>
      </x:c>
      <x:c r="C12" s="65" t="str">
        <x:v>CUENTA</x:v>
      </x:c>
      <x:c r="D12" s="67" t="str">
        <x:v>Mismo banco</x:v>
      </x:c>
      <x:c r="E12" s="65"/>
      <x:c r="F12" s="71" t="str">
        <x:v>AD</x:v>
      </x:c>
      <x:c r="G12" s="101" t="str">
        <x:v>IMPORTE_SPEI_QA_AD</x:v>
      </x:c>
      <x:c r="H12" s="69" t="str">
        <x:v>Semántica sólo QA; no certificada</x:v>
      </x:c>
    </x:row>
    <x:row r="13">
      <x:c r="A13" s="102" t="str">
        <x:v>clabe</x:v>
      </x:c>
      <x:c r="B13" s="65" t="str">
        <x:v>H</x:v>
      </x:c>
      <x:c r="C13" s="65" t="str">
        <x:v>CLABE</x:v>
      </x:c>
      <x:c r="D13" s="67" t="str">
        <x:v>SPEI</x:v>
      </x:c>
      <x:c r="E13" s="65"/>
      <x:c r="F13" s="65"/>
      <x:c r="G13" s="65"/>
      <x:c r="H13" s="65"/>
    </x:row>
    <x:row r="14">
      <x:c r="A14" s="102" t="str">
        <x:v>netAmount</x:v>
      </x:c>
      <x:c r="B14" s="65" t="str">
        <x:v>I</x:v>
      </x:c>
      <x:c r="C14" s="65" t="str">
        <x:v>NETO</x:v>
      </x:c>
      <x:c r="D14" s="67" t="str">
        <x:v>Total por persona</x:v>
      </x:c>
      <x:c r="E14" s="65"/>
      <x:c r="F14" s="65"/>
      <x:c r="G14" s="65"/>
      <x:c r="H14" s="65"/>
    </x:row>
    <x:row r="15">
      <x:c r="A15" s="102" t="str">
        <x:v>bankAmount</x:v>
      </x:c>
      <x:c r="B15" s="65" t="str">
        <x:v>J</x:v>
      </x:c>
      <x:c r="C15" s="65" t="str">
        <x:v>MISMO_BANCO</x:v>
      </x:c>
      <x:c r="D15" s="67" t="str">
        <x:v>Canal BBVA</x:v>
      </x:c>
      <x:c r="E15" s="65"/>
      <x:c r="F15" s="65"/>
      <x:c r="G15" s="65"/>
      <x:c r="H15" s="65"/>
    </x:row>
    <x:row r="16">
      <x:c r="A16" s="102" t="str">
        <x:v>speiAmount</x:v>
      </x:c>
      <x:c r="B16" s="65" t="str">
        <x:v>K</x:v>
      </x:c>
      <x:c r="C16" s="65" t="str">
        <x:v>SPEI</x:v>
      </x:c>
      <x:c r="D16" s="67" t="str">
        <x:v>Canal interbancario</x:v>
      </x:c>
      <x:c r="E16" s="65"/>
      <x:c r="F16" s="65"/>
      <x:c r="G16" s="65"/>
      <x:c r="H16" s="65"/>
    </x:row>
    <x:row r="17">
      <x:c r="A17" s="71" t="str">
        <x:v>vouchersAmount</x:v>
      </x:c>
      <x:c r="B17" s="101" t="str">
        <x:v>L</x:v>
      </x:c>
      <x:c r="C17" s="101" t="str">
        <x:v>VALES</x:v>
      </x:c>
      <x:c r="D17" s="69" t="str">
        <x:v>TOKA/vales</x:v>
      </x:c>
      <x:c r="E17" s="65"/>
      <x:c r="F17" s="65"/>
      <x:c r="G17" s="65"/>
      <x:c r="H17" s="65"/>
    </x:row>
  </x:sheetData>
  <x:mergeCells>
    <x:mergeCell ref="A1:F1"/>
    <x:mergeCell ref="A3:F4"/>
  </x:mergeCells>
  <x:pageMargins left="0.7" right="0.7" top="0.75" bottom="0.75" header="0.3" footer="0.3"/>
</x:worksheet>
</file>